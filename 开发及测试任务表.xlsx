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任务与分工" sheetId="3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<sst xmlns="http://schemas.openxmlformats.org/spreadsheetml/2006/main" count="117" uniqueCount="107">
  <si>
    <t>任务编号</t>
  </si>
  <si>
    <t>任务分类</t>
  </si>
  <si>
    <t>任务名称与核心职责</t>
  </si>
  <si>
    <t>工作量</t>
  </si>
  <si>
    <t>T1</t>
  </si>
  <si>
    <t>Dev+UT</t>
  </si>
  <si>
    <r>
      <t>买家端后端开发与单测 (Java/Spring Boot)</t>
    </r>
    <r>
      <rPr>
        <sz val="10"/>
        <color rgb="FF1F1F1F"/>
        <rFont val="Microsoft YaHei"/>
        <charset val="134"/>
      </rPr>
      <t>：实现注册、登录、连续5次失败锁定边界逻辑、购物车原子级扣减库存操作。编写 JUnit 单元测试，确保高风险逻辑语句覆盖率 &gt; 80%。</t>
    </r>
  </si>
  <si>
    <t>T2</t>
  </si>
  <si>
    <r>
      <t>买家端前端开发与单测 (Vue 3)</t>
    </r>
    <r>
      <rPr>
        <sz val="10"/>
        <color rgb="FF1F1F1F"/>
        <rFont val="Microsoft YaHei"/>
        <charset val="134"/>
      </rPr>
      <t>：实现购物车、商品详情等交互，并在所有关键用户界面（登录页、首页、购物车页、结算页）显著位置埋入“软件质量与测试课 2025-2026-2 学期”标识。</t>
    </r>
  </si>
  <si>
    <t>T3</t>
  </si>
  <si>
    <r>
      <t>管理员端全栈开发与单测</t>
    </r>
    <r>
      <rPr>
        <sz val="10"/>
        <color rgb="FF1F1F1F"/>
        <rFont val="Microsoft YaHei"/>
        <charset val="134"/>
      </rPr>
      <t>：实现商品上下架、订单状态模拟流转。同步编写前后端基础单元测试。</t>
    </r>
  </si>
  <si>
    <t>T4</t>
  </si>
  <si>
    <t>FT-Design</t>
  </si>
  <si>
    <r>
      <t>买家核心业务测试用例设计</t>
    </r>
    <r>
      <rPr>
        <sz val="10"/>
        <color rgb="FF1F1F1F"/>
        <rFont val="Microsoft YaHei"/>
        <charset val="134"/>
      </rPr>
      <t>：覆盖购物车 1-99 数量边界、收货信息输入域规范、密码格式校验等黑盒用例。</t>
    </r>
  </si>
  <si>
    <t>T5</t>
  </si>
  <si>
    <r>
      <t>管理员业务及特殊场景测试用例设计</t>
    </r>
    <r>
      <rPr>
        <sz val="10"/>
        <color rgb="FF1F1F1F"/>
        <rFont val="Microsoft YaHei"/>
        <charset val="134"/>
      </rPr>
      <t>：覆盖后台商品/订单流转权限，以及 UI 显著位置标识存在与否的必测检查点。</t>
    </r>
  </si>
  <si>
    <t>T6</t>
  </si>
  <si>
    <t>FT-Exec</t>
  </si>
  <si>
    <r>
      <t>全站手工测试执行与 Bug 追踪</t>
    </r>
    <r>
      <rPr>
        <sz val="10"/>
        <color rgb="FF1F1F1F"/>
        <rFont val="Microsoft YaHei"/>
        <charset val="134"/>
      </rPr>
      <t>：严格执行 T4、T5 产出的用例，发现并督促开发修复首轮缺陷。</t>
    </r>
  </si>
  <si>
    <t>T7</t>
  </si>
  <si>
    <t>Auto</t>
  </si>
  <si>
    <r>
      <t>接口级自动化测试 (API)</t>
    </r>
    <r>
      <rPr>
        <sz val="10"/>
        <color rgb="FF1F1F1F"/>
        <rFont val="Microsoft YaHei"/>
        <charset val="134"/>
      </rPr>
      <t>：运用 Python 等脚本语言，覆盖第 4 节输入规格中的边界值、非法输入及安全锁定逻辑。</t>
    </r>
  </si>
  <si>
    <t>T8</t>
  </si>
  <si>
    <r>
      <t>端到端 UI 自动化测试 (E2E)</t>
    </r>
    <r>
      <rPr>
        <sz val="10"/>
        <color rgb="FF1F1F1F"/>
        <rFont val="Microsoft YaHei"/>
        <charset val="134"/>
      </rPr>
      <t>：使用 Selenium/Playwright 录制买家主流程（登录→搜索→加车→结算），并在脚本中加入 UI 标识断言。</t>
    </r>
  </si>
  <si>
    <t>T9</t>
  </si>
  <si>
    <t>Perf</t>
  </si>
  <si>
    <r>
      <t>并发负载压测与防超卖验证</t>
    </r>
    <r>
      <rPr>
        <sz val="10"/>
        <color rgb="FF1F1F1F"/>
        <rFont val="Microsoft YaHei"/>
        <charset val="134"/>
      </rPr>
      <t>：使用工具设计 50 并发（日常）与 200 并发（峰值）场景。</t>
    </r>
  </si>
  <si>
    <t>T10</t>
  </si>
  <si>
    <r>
      <t>SLA 响应时间与稳定性分析</t>
    </r>
    <r>
      <rPr>
        <sz val="10"/>
        <color rgb="FF1F1F1F"/>
        <rFont val="Microsoft YaHei"/>
        <charset val="134"/>
      </rPr>
      <t>：测量核心节点 90% 响应时间，并执行 30 分钟稳定性压测验证事务失败率 &lt; 1%。</t>
    </r>
  </si>
  <si>
    <t>T11</t>
  </si>
  <si>
    <r>
      <t>系统资源与数据库监控</t>
    </r>
    <r>
      <rPr>
        <sz val="10"/>
        <color rgb="FF1F1F1F"/>
        <rFont val="Microsoft YaHei"/>
        <charset val="134"/>
      </rPr>
      <t>：压测期间排查内存泄漏，监控 CPU &lt; 80%，确保单条数据库查询时间 &lt; 500 毫秒。</t>
    </r>
  </si>
  <si>
    <t>T12</t>
  </si>
  <si>
    <t>Doc</t>
  </si>
  <si>
    <r>
      <t>测试方案、计划与最终总结报告编写</t>
    </r>
    <r>
      <rPr>
        <sz val="10"/>
        <color rgb="FF1F1F1F"/>
        <rFont val="Microsoft YaHei"/>
        <charset val="134"/>
      </rPr>
      <t>：统筹全组手工、自动化、性能数据，输出完整实践报告。</t>
    </r>
  </si>
  <si>
    <t>团队角色</t>
  </si>
  <si>
    <t>承担人（建议）</t>
  </si>
  <si>
    <t>负责的任务编号与具体内容</t>
  </si>
  <si>
    <t>个人总工作量</t>
  </si>
  <si>
    <t>核心质量把控点</t>
  </si>
  <si>
    <t>后端主程与</t>
  </si>
  <si>
    <t>成员 A</t>
  </si>
  <si>
    <r>
      <t>T1</t>
    </r>
    <r>
      <rPr>
        <sz val="10"/>
        <color rgb="FF1F1F1F"/>
        <rFont val="Microsoft YaHei"/>
        <charset val="134"/>
      </rPr>
      <t xml:space="preserve"> (7): </t>
    </r>
    <r>
      <rPr>
        <b/>
        <sz val="10"/>
        <color rgb="FF1F1F1F"/>
        <rFont val="Microsoft YaHei"/>
        <charset val="134"/>
      </rPr>
      <t>买家端后端开发与单测</t>
    </r>
  </si>
  <si>
    <r>
      <t>确保高风险业务逻辑的</t>
    </r>
    <r>
      <rPr>
        <b/>
        <sz val="10"/>
        <color rgb="FF1F1F1F"/>
        <rFont val="Microsoft YaHei"/>
        <charset val="134"/>
      </rPr>
      <t>单元测试语句覆盖率 &gt; 80%</t>
    </r>
    <r>
      <rPr>
        <sz val="10"/>
        <color rgb="FF1F1F1F"/>
        <rFont val="Microsoft YaHei"/>
        <charset val="134"/>
      </rPr>
      <t>，严防接口层面的数据越权与超卖 。</t>
    </r>
  </si>
  <si>
    <t>接口自动化专家</t>
  </si>
  <si>
    <t>实现注册、登录、连续5次失败锁定、购物车原子级扣减库存等核心逻辑，编写 JUnit 单元测试 。</t>
  </si>
  <si>
    <t>T7 (6): 接口级自动化测试 (API)</t>
  </si>
  <si>
    <t>运用脚本语言覆盖输入规格中的边界值、非法输入及安全锁定逻辑 。</t>
  </si>
  <si>
    <t>前端主程与</t>
  </si>
  <si>
    <t>成员 B</t>
  </si>
  <si>
    <r>
      <t>T2</t>
    </r>
    <r>
      <rPr>
        <sz val="10"/>
        <color rgb="FF1F1F1F"/>
        <rFont val="Microsoft YaHei"/>
        <charset val="134"/>
      </rPr>
      <t xml:space="preserve"> (5): </t>
    </r>
    <r>
      <rPr>
        <b/>
        <sz val="10"/>
        <color rgb="FF1F1F1F"/>
        <rFont val="Microsoft YaHei"/>
        <charset val="134"/>
      </rPr>
      <t>买家端前端开发与单测</t>
    </r>
  </si>
  <si>
    <r>
      <t>确保</t>
    </r>
    <r>
      <rPr>
        <b/>
        <sz val="10"/>
        <color rgb="FF1F1F1F"/>
        <rFont val="Microsoft YaHei"/>
        <charset val="134"/>
      </rPr>
      <t>课程标识字样</t>
    </r>
    <r>
      <rPr>
        <sz val="10"/>
        <color rgb="FF1F1F1F"/>
        <rFont val="Microsoft YaHei"/>
        <charset val="134"/>
      </rPr>
      <t>在关键 UI 100% 显现 ，且端到端自动化脚本可以稳定复现完整的购物闭环 。</t>
    </r>
  </si>
  <si>
    <t>UI 自动化专家</t>
  </si>
  <si>
    <r>
      <t>实现购物车、商品详情等交互，并在所有关键用户界面（登录页、首页、购物车页、结算页）显著位置埋入课程标识 。</t>
    </r>
    <r>
      <rPr>
        <b/>
        <sz val="10"/>
        <color rgb="FF1F1F1F"/>
        <rFont val="Microsoft YaHei"/>
        <charset val="134"/>
      </rPr>
      <t>T8</t>
    </r>
    <r>
      <rPr>
        <sz val="10"/>
        <color rgb="FF1F1F1F"/>
        <rFont val="Microsoft YaHei"/>
        <charset val="134"/>
      </rPr>
      <t xml:space="preserve"> (7): </t>
    </r>
    <r>
      <rPr>
        <b/>
        <sz val="10"/>
        <color rgb="FF1F1F1F"/>
        <rFont val="Microsoft YaHei"/>
        <charset val="134"/>
      </rPr>
      <t>端到端 UI 自动化测试 (E2E)</t>
    </r>
  </si>
  <si>
    <t>使用 Selenium/Playwright 录制买家主流程（登录→搜索→加车→结算），并在脚本中加入 UI 标识断言 。</t>
  </si>
  <si>
    <t>全栈支撑与</t>
  </si>
  <si>
    <t>成员 C</t>
  </si>
  <si>
    <r>
      <t>T3</t>
    </r>
    <r>
      <rPr>
        <sz val="10"/>
        <color rgb="FF1F1F1F"/>
        <rFont val="Microsoft YaHei"/>
        <charset val="134"/>
      </rPr>
      <t xml:space="preserve"> (6): </t>
    </r>
    <r>
      <rPr>
        <b/>
        <sz val="10"/>
        <color rgb="FF1F1F1F"/>
        <rFont val="Microsoft YaHei"/>
        <charset val="134"/>
      </rPr>
      <t>管理员端全栈开发与单测</t>
    </r>
  </si>
  <si>
    <r>
      <t>充当团队的“质量找茬官”，全方位核对黑盒输入域规格，确保</t>
    </r>
    <r>
      <rPr>
        <b/>
        <sz val="10"/>
        <color rgb="FF1F1F1F"/>
        <rFont val="Microsoft YaHei"/>
        <charset val="134"/>
      </rPr>
      <t>系统功能无恶性崩溃（崩溃率 &lt; 1%）</t>
    </r>
    <r>
      <rPr>
        <sz val="10"/>
        <color rgb="FF1F1F1F"/>
        <rFont val="Microsoft YaHei"/>
        <charset val="134"/>
      </rPr>
      <t xml:space="preserve"> 。</t>
    </r>
  </si>
  <si>
    <t>首席手工测试员</t>
  </si>
  <si>
    <t>实现后台商品上下架、订单状态模拟流转，同步编写前后端基础单元测试 。</t>
  </si>
  <si>
    <t>T6 (6): 全站手工测试执行与 Bug 追踪</t>
  </si>
  <si>
    <t>严格执行黑盒测试用例，发现并督促开发修复首轮缺陷 。</t>
  </si>
  <si>
    <t>性能压测与</t>
  </si>
  <si>
    <t>成员 D</t>
  </si>
  <si>
    <r>
      <t>T9</t>
    </r>
    <r>
      <rPr>
        <sz val="10"/>
        <color rgb="FF1F1F1F"/>
        <rFont val="Microsoft YaHei"/>
        <charset val="134"/>
      </rPr>
      <t xml:space="preserve"> (5): </t>
    </r>
    <r>
      <rPr>
        <b/>
        <sz val="10"/>
        <color rgb="FF1F1F1F"/>
        <rFont val="Microsoft YaHei"/>
        <charset val="134"/>
      </rPr>
      <t>并发负载压测与防超卖验证</t>
    </r>
  </si>
  <si>
    <r>
      <t xml:space="preserve">严格对照需求第 5 节的 </t>
    </r>
    <r>
      <rPr>
        <b/>
        <sz val="10"/>
        <color rgb="FF1F1F1F"/>
        <rFont val="Microsoft YaHei"/>
        <charset val="134"/>
      </rPr>
      <t>SLA 性能指标</t>
    </r>
    <r>
      <rPr>
        <sz val="10"/>
        <color rgb="FF1F1F1F"/>
        <rFont val="Microsoft YaHei"/>
        <charset val="134"/>
      </rPr>
      <t>，确保系统在高并发冲击下不发生服务崩溃或数据丢失 。</t>
    </r>
  </si>
  <si>
    <t>调优专家</t>
  </si>
  <si>
    <r>
      <t>设计 50 并发（日常）与 200 并发（峰值）场景 。</t>
    </r>
    <r>
      <rPr>
        <b/>
        <sz val="10"/>
        <color rgb="FF1F1F1F"/>
        <rFont val="Microsoft YaHei"/>
        <charset val="134"/>
      </rPr>
      <t>T10</t>
    </r>
    <r>
      <rPr>
        <sz val="10"/>
        <color rgb="FF1F1F1F"/>
        <rFont val="Microsoft YaHei"/>
        <charset val="134"/>
      </rPr>
      <t xml:space="preserve"> (5): </t>
    </r>
    <r>
      <rPr>
        <b/>
        <sz val="10"/>
        <color rgb="FF1F1F1F"/>
        <rFont val="Microsoft YaHei"/>
        <charset val="134"/>
      </rPr>
      <t>SLA 响应时间与稳定性分析</t>
    </r>
  </si>
  <si>
    <r>
      <t>测量核心节点 90% 响应时间，执行 30 分钟稳定性压测 。</t>
    </r>
    <r>
      <rPr>
        <b/>
        <sz val="10"/>
        <color rgb="FF1F1F1F"/>
        <rFont val="Microsoft YaHei"/>
        <charset val="134"/>
      </rPr>
      <t>T11</t>
    </r>
    <r>
      <rPr>
        <sz val="10"/>
        <color rgb="FF1F1F1F"/>
        <rFont val="Microsoft YaHei"/>
        <charset val="134"/>
      </rPr>
      <t xml:space="preserve"> (4): </t>
    </r>
    <r>
      <rPr>
        <b/>
        <sz val="10"/>
        <color rgb="FF1F1F1F"/>
        <rFont val="Microsoft YaHei"/>
        <charset val="134"/>
      </rPr>
      <t>系统资源与数据库监控</t>
    </r>
  </si>
  <si>
    <t>压测期间排查内存泄漏，监控 CPU &lt; 80%，验证单条 SQL &lt; 500ms 。</t>
  </si>
  <si>
    <t>测试经理 (PM) 与</t>
  </si>
  <si>
    <t>成员 E</t>
  </si>
  <si>
    <r>
      <t>T4</t>
    </r>
    <r>
      <rPr>
        <sz val="10"/>
        <color rgb="FF1F1F1F"/>
        <rFont val="Microsoft YaHei"/>
        <charset val="134"/>
      </rPr>
      <t xml:space="preserve"> (5): </t>
    </r>
    <r>
      <rPr>
        <b/>
        <sz val="10"/>
        <color rgb="FF1F1F1F"/>
        <rFont val="Microsoft YaHei"/>
        <charset val="134"/>
      </rPr>
      <t>买家核心业务测试用例设计</t>
    </r>
  </si>
  <si>
    <r>
      <t>严把</t>
    </r>
    <r>
      <rPr>
        <b/>
        <sz val="10"/>
        <color rgb="FF1F1F1F"/>
        <rFont val="Microsoft YaHei"/>
        <charset val="134"/>
      </rPr>
      <t>用例覆盖率与文档合规关</t>
    </r>
    <r>
      <rPr>
        <sz val="10"/>
        <color rgb="FF1F1F1F"/>
        <rFont val="Microsoft YaHei"/>
        <charset val="134"/>
      </rPr>
      <t>。负责将全组的单测报告、自动化通过率和压测图表聚合成最终的交付物 。</t>
    </r>
  </si>
  <si>
    <t>质量用例设计师</t>
  </si>
  <si>
    <t>对照规格死磕购物车 1-99 数量边界、收货信息输入域规范等黑盒用例 。</t>
  </si>
  <si>
    <t>T5 (4): 管理员业务及特殊场景测试用例设计</t>
  </si>
  <si>
    <t>覆盖后台权限、“课程标识”存在与否的必测检查点 。</t>
  </si>
  <si>
    <t>T12 (5): 测试方案、计划与最终总结报告编写</t>
  </si>
  <si>
    <t>统筹全组手工、自动化、性能数据，输出完整课设实践报告 。</t>
  </si>
  <si>
    <t>编号</t>
  </si>
  <si>
    <t>任务名称</t>
  </si>
  <si>
    <t>承担人</t>
  </si>
  <si>
    <t>注册功能开发（包含单元测试）</t>
  </si>
  <si>
    <t>分工</t>
  </si>
  <si>
    <t>登录与退出功能开发（包含单元测试）</t>
  </si>
  <si>
    <t>核心开发</t>
  </si>
  <si>
    <t>填写补充信息、查看修改注册信息开发（包含单元测试）</t>
  </si>
  <si>
    <t>自动化测试</t>
  </si>
  <si>
    <t>注册功能测试用例设计</t>
  </si>
  <si>
    <t>性能与兼容与文档</t>
  </si>
  <si>
    <t>注册功能测试用例的手工执行</t>
  </si>
  <si>
    <t>功能测试A</t>
  </si>
  <si>
    <t>登录功能测试用例设计</t>
  </si>
  <si>
    <t>功能测试B</t>
  </si>
  <si>
    <t>登录功能测试用例的手工执行</t>
  </si>
  <si>
    <t>合计</t>
  </si>
  <si>
    <t>软件质量与测试</t>
  </si>
  <si>
    <t>填写补充信息、查看修改注册信息测试用例设计</t>
  </si>
  <si>
    <t>填写补充信息、查看修改注册信息测试用例的手工执行</t>
  </si>
  <si>
    <t>注册功能测试用例的自动化执行</t>
  </si>
  <si>
    <t>登录功能测试用例的自动化执行</t>
  </si>
  <si>
    <t>填写补充信息、查看修改注册信息测试用例的自动化执行</t>
  </si>
  <si>
    <t>注册功能的性能测试</t>
  </si>
  <si>
    <t>登录功能的性能测试</t>
  </si>
  <si>
    <t>测试计划文档编写</t>
  </si>
  <si>
    <t>兼容性测试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</si>
</sst>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sz val="10"/>
      <color theme="1"/>
      <name val="Microsoft YaHei"/>
      <charset val="134"/>
    </font>
    <font>
      <b/>
      <sz val="11"/>
      <color rgb="FF1F1F1F"/>
      <name val="Microsoft YaHei"/>
      <charset val="134"/>
    </font>
    <font>
      <b/>
      <sz val="10"/>
      <color rgb="FF1F1F1F"/>
      <name val="Microsoft YaHei"/>
      <charset val="134"/>
    </font>
    <font>
      <sz val="10"/>
      <color rgb="FF1F1F1F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12" applyNumberFormat="0" applyAlignment="0" applyProtection="0">
      <alignment vertical="center"/>
    </xf>
    <xf numFmtId="0" fontId="16" fillId="10" borderId="13" applyNumberFormat="0" applyAlignment="0" applyProtection="0">
      <alignment vertical="center"/>
    </xf>
    <xf numFmtId="0" fontId="17" fillId="10" borderId="12" applyNumberFormat="0" applyAlignment="0" applyProtection="0">
      <alignment vertical="center"/>
    </xf>
    <xf numFmtId="0" fontId="18" fillId="11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center" vertical="center" wrapText="1" readingOrder="1"/>
    </xf>
    <xf numFmtId="0" fontId="6" fillId="0" borderId="5" xfId="0" applyFont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left" vertical="center" wrapText="1" readingOrder="1"/>
    </xf>
    <xf numFmtId="0" fontId="6" fillId="0" borderId="5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left" vertical="center" wrapText="1" readingOrder="1"/>
    </xf>
    <xf numFmtId="0" fontId="5" fillId="0" borderId="5" xfId="0" applyFont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left" vertical="center" wrapText="1" readingOrder="1"/>
    </xf>
    <xf numFmtId="0" fontId="6" fillId="0" borderId="7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 readingOrder="1"/>
    </xf>
    <xf numFmtId="0" fontId="6" fillId="0" borderId="8" xfId="0" applyFont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zoomScale="115" zoomScaleNormal="115" workbookViewId="0">
      <selection activeCell="G32" sqref="G32"/>
    </sheetView>
  </sheetViews>
  <sheetFormatPr defaultColWidth="8.88888888888889" defaultRowHeight="14.4" outlineLevelCol="4"/>
  <cols>
    <col min="1" max="1" width="21.4537037037037" customWidth="1"/>
    <col min="2" max="2" width="21.2685185185185" customWidth="1"/>
    <col min="3" max="3" width="50.7777777777778" customWidth="1"/>
    <col min="4" max="4" width="17.2314814814815" customWidth="1"/>
    <col min="5" max="5" width="50.7777777777778" customWidth="1"/>
  </cols>
  <sheetData>
    <row r="1" ht="22.5" customHeight="1" spans="1:5">
      <c r="A1" s="13" t="s">
        <v>0</v>
      </c>
      <c r="B1" s="13" t="s">
        <v>1</v>
      </c>
      <c r="C1" s="13" t="s">
        <v>2</v>
      </c>
      <c r="D1" s="13" t="s">
        <v>3</v>
      </c>
    </row>
    <row r="2" ht="61.35" customHeight="1" spans="1:5">
      <c r="A2" s="14" t="s">
        <v>4</v>
      </c>
      <c r="B2" s="15" t="s">
        <v>5</v>
      </c>
      <c r="C2" s="16" t="s">
        <v>6</v>
      </c>
      <c r="D2" s="17">
        <v>7</v>
      </c>
    </row>
    <row r="3" ht="72" customHeight="1" spans="1:5">
      <c r="A3" s="14" t="s">
        <v>7</v>
      </c>
      <c r="B3" s="15" t="s">
        <v>5</v>
      </c>
      <c r="C3" s="16" t="s">
        <v>8</v>
      </c>
      <c r="D3" s="17">
        <v>5</v>
      </c>
    </row>
    <row r="4" ht="39" customHeight="1" spans="1:5">
      <c r="A4" s="14" t="s">
        <v>9</v>
      </c>
      <c r="B4" s="15" t="s">
        <v>5</v>
      </c>
      <c r="C4" s="16" t="s">
        <v>10</v>
      </c>
      <c r="D4" s="17">
        <v>6</v>
      </c>
    </row>
    <row r="5" ht="39" customHeight="1" spans="1:5">
      <c r="A5" s="14" t="s">
        <v>11</v>
      </c>
      <c r="B5" s="15" t="s">
        <v>12</v>
      </c>
      <c r="C5" s="16" t="s">
        <v>13</v>
      </c>
      <c r="D5" s="17">
        <v>5</v>
      </c>
    </row>
    <row r="6" ht="39" customHeight="1" spans="1:5">
      <c r="A6" s="14" t="s">
        <v>14</v>
      </c>
      <c r="B6" s="15" t="s">
        <v>12</v>
      </c>
      <c r="C6" s="16" t="s">
        <v>15</v>
      </c>
      <c r="D6" s="17">
        <v>4</v>
      </c>
    </row>
    <row r="7" ht="39.75" customHeight="1" spans="1:5">
      <c r="A7" s="14" t="s">
        <v>16</v>
      </c>
      <c r="B7" s="15" t="s">
        <v>17</v>
      </c>
      <c r="C7" s="16" t="s">
        <v>18</v>
      </c>
      <c r="D7" s="17">
        <v>6</v>
      </c>
    </row>
    <row r="8" ht="39" customHeight="1" spans="1:5">
      <c r="A8" s="14" t="s">
        <v>19</v>
      </c>
      <c r="B8" s="15" t="s">
        <v>20</v>
      </c>
      <c r="C8" s="16" t="s">
        <v>21</v>
      </c>
      <c r="D8" s="17">
        <v>6</v>
      </c>
    </row>
    <row r="9" ht="55.5" customHeight="1" spans="1:5">
      <c r="A9" s="14" t="s">
        <v>22</v>
      </c>
      <c r="B9" s="15" t="s">
        <v>20</v>
      </c>
      <c r="C9" s="16" t="s">
        <v>23</v>
      </c>
      <c r="D9" s="17">
        <v>7</v>
      </c>
    </row>
    <row r="10" ht="39" customHeight="1" spans="1:5">
      <c r="A10" s="14" t="s">
        <v>24</v>
      </c>
      <c r="B10" s="15" t="s">
        <v>25</v>
      </c>
      <c r="C10" s="16" t="s">
        <v>26</v>
      </c>
      <c r="D10" s="17">
        <v>5</v>
      </c>
    </row>
    <row r="11" ht="39" customHeight="1" spans="1:5">
      <c r="A11" s="14" t="s">
        <v>27</v>
      </c>
      <c r="B11" s="15" t="s">
        <v>25</v>
      </c>
      <c r="C11" s="16" t="s">
        <v>28</v>
      </c>
      <c r="D11" s="17">
        <v>5</v>
      </c>
    </row>
    <row r="12" ht="39.75" customHeight="1" spans="1:5">
      <c r="A12" s="14" t="s">
        <v>29</v>
      </c>
      <c r="B12" s="15" t="s">
        <v>25</v>
      </c>
      <c r="C12" s="16" t="s">
        <v>30</v>
      </c>
      <c r="D12" s="17">
        <v>4</v>
      </c>
    </row>
    <row r="13" ht="39" customHeight="1" spans="1:5">
      <c r="A13" s="14" t="s">
        <v>31</v>
      </c>
      <c r="B13" s="15" t="s">
        <v>32</v>
      </c>
      <c r="C13" s="16" t="s">
        <v>33</v>
      </c>
      <c r="D13" s="17">
        <v>5</v>
      </c>
    </row>
    <row r="16" ht="22.5" customHeight="1" spans="1:5">
      <c r="A16" s="13" t="s">
        <v>34</v>
      </c>
      <c r="B16" s="13" t="s">
        <v>35</v>
      </c>
      <c r="C16" s="13" t="s">
        <v>36</v>
      </c>
      <c r="D16" s="13" t="s">
        <v>37</v>
      </c>
      <c r="E16" s="13" t="s">
        <v>38</v>
      </c>
    </row>
    <row r="17" ht="22.5" customHeight="1" spans="1:5">
      <c r="A17" s="18" t="s">
        <v>39</v>
      </c>
      <c r="B17" s="14" t="s">
        <v>40</v>
      </c>
      <c r="C17" s="19" t="s">
        <v>41</v>
      </c>
      <c r="D17" s="20">
        <v>13</v>
      </c>
      <c r="E17" s="18" t="s">
        <v>42</v>
      </c>
    </row>
    <row r="18" ht="55.5" customHeight="1" spans="1:5">
      <c r="A18" s="21" t="s">
        <v>43</v>
      </c>
      <c r="B18" s="20"/>
      <c r="C18" s="22" t="s">
        <v>44</v>
      </c>
      <c r="D18" s="20"/>
      <c r="E18" s="23"/>
    </row>
    <row r="19" ht="22.5" customHeight="1" spans="1:5">
      <c r="A19" s="24"/>
      <c r="B19" s="20"/>
      <c r="C19" s="25" t="s">
        <v>45</v>
      </c>
      <c r="D19" s="20"/>
      <c r="E19" s="23"/>
    </row>
    <row r="20" ht="39" customHeight="1" spans="1:5">
      <c r="A20" s="26"/>
      <c r="B20" s="20"/>
      <c r="C20" s="27" t="s">
        <v>46</v>
      </c>
      <c r="D20" s="20"/>
      <c r="E20" s="28"/>
    </row>
    <row r="21" ht="22.5" customHeight="1" spans="1:5">
      <c r="A21" s="18" t="s">
        <v>47</v>
      </c>
      <c r="B21" s="14" t="s">
        <v>48</v>
      </c>
      <c r="C21" s="19" t="s">
        <v>49</v>
      </c>
      <c r="D21" s="20">
        <v>12</v>
      </c>
      <c r="E21" s="18" t="s">
        <v>50</v>
      </c>
    </row>
    <row r="22" ht="55.5" customHeight="1" spans="1:5">
      <c r="A22" s="21" t="s">
        <v>51</v>
      </c>
      <c r="B22" s="20"/>
      <c r="C22" s="22" t="s">
        <v>52</v>
      </c>
      <c r="D22" s="20"/>
      <c r="E22" s="23"/>
    </row>
    <row r="23" ht="39" customHeight="1" spans="1:5">
      <c r="A23" s="26"/>
      <c r="B23" s="20"/>
      <c r="C23" s="27" t="s">
        <v>53</v>
      </c>
      <c r="D23" s="20"/>
      <c r="E23" s="28"/>
    </row>
    <row r="24" ht="22.5" customHeight="1" spans="1:5">
      <c r="A24" s="18" t="s">
        <v>54</v>
      </c>
      <c r="B24" s="14" t="s">
        <v>55</v>
      </c>
      <c r="C24" s="19" t="s">
        <v>56</v>
      </c>
      <c r="D24" s="20">
        <v>12</v>
      </c>
      <c r="E24" s="18" t="s">
        <v>57</v>
      </c>
    </row>
    <row r="25" ht="39" customHeight="1" spans="1:5">
      <c r="A25" s="21" t="s">
        <v>58</v>
      </c>
      <c r="B25" s="20"/>
      <c r="C25" s="22" t="s">
        <v>59</v>
      </c>
      <c r="D25" s="20"/>
      <c r="E25" s="23"/>
    </row>
    <row r="26" ht="22.5" customHeight="1" spans="1:5">
      <c r="A26" s="24"/>
      <c r="B26" s="20"/>
      <c r="C26" s="25" t="s">
        <v>60</v>
      </c>
      <c r="D26" s="20"/>
      <c r="E26" s="23"/>
    </row>
    <row r="27" ht="22.5" customHeight="1" spans="1:5">
      <c r="A27" s="26"/>
      <c r="B27" s="20"/>
      <c r="C27" s="27" t="s">
        <v>61</v>
      </c>
      <c r="D27" s="20"/>
      <c r="E27" s="28"/>
    </row>
    <row r="28" ht="22.5" customHeight="1" spans="1:5">
      <c r="A28" s="18" t="s">
        <v>62</v>
      </c>
      <c r="B28" s="14" t="s">
        <v>63</v>
      </c>
      <c r="C28" s="19" t="s">
        <v>64</v>
      </c>
      <c r="D28" s="20">
        <v>14</v>
      </c>
      <c r="E28" s="18" t="s">
        <v>65</v>
      </c>
    </row>
    <row r="29" ht="39" customHeight="1" spans="1:5">
      <c r="A29" s="21" t="s">
        <v>66</v>
      </c>
      <c r="B29" s="20"/>
      <c r="C29" s="22" t="s">
        <v>67</v>
      </c>
      <c r="D29" s="20"/>
      <c r="E29" s="23"/>
    </row>
    <row r="30" ht="39" customHeight="1" spans="1:5">
      <c r="A30" s="24"/>
      <c r="B30" s="20"/>
      <c r="C30" s="22" t="s">
        <v>68</v>
      </c>
      <c r="D30" s="20"/>
      <c r="E30" s="23"/>
    </row>
    <row r="31" ht="39" customHeight="1" spans="1:5">
      <c r="A31" s="26"/>
      <c r="B31" s="20"/>
      <c r="C31" s="27" t="s">
        <v>69</v>
      </c>
      <c r="D31" s="20"/>
      <c r="E31" s="28"/>
    </row>
    <row r="32" ht="22.5" customHeight="1" spans="1:5">
      <c r="A32" s="18" t="s">
        <v>70</v>
      </c>
      <c r="B32" s="14" t="s">
        <v>71</v>
      </c>
      <c r="C32" s="19" t="s">
        <v>72</v>
      </c>
      <c r="D32" s="20">
        <v>14</v>
      </c>
      <c r="E32" s="18" t="s">
        <v>73</v>
      </c>
    </row>
    <row r="33" ht="39" customHeight="1" spans="1:5">
      <c r="A33" s="21" t="s">
        <v>74</v>
      </c>
      <c r="B33" s="20"/>
      <c r="C33" s="22" t="s">
        <v>75</v>
      </c>
      <c r="D33" s="20"/>
      <c r="E33" s="23"/>
    </row>
    <row r="34" ht="22.5" customHeight="1" spans="1:5">
      <c r="A34" s="24"/>
      <c r="B34" s="20"/>
      <c r="C34" s="25" t="s">
        <v>76</v>
      </c>
      <c r="D34" s="20"/>
      <c r="E34" s="23"/>
    </row>
    <row r="35" ht="39" customHeight="1" spans="1:5">
      <c r="A35" s="24"/>
      <c r="B35" s="20"/>
      <c r="C35" s="22" t="s">
        <v>77</v>
      </c>
      <c r="D35" s="20"/>
      <c r="E35" s="23"/>
    </row>
    <row r="36" ht="22.5" customHeight="1" spans="1:5">
      <c r="A36" s="24"/>
      <c r="B36" s="20"/>
      <c r="C36" s="25" t="s">
        <v>78</v>
      </c>
      <c r="D36" s="20"/>
      <c r="E36" s="23"/>
    </row>
    <row r="37" ht="39" customHeight="1" spans="1:5">
      <c r="A37" s="26"/>
      <c r="B37" s="20"/>
      <c r="C37" s="27" t="s">
        <v>79</v>
      </c>
      <c r="D37" s="20"/>
      <c r="E37" s="28"/>
    </row>
  </sheetData>
  <mergeCells count="15">
    <mergeCell ref="B17:B20"/>
    <mergeCell ref="B21:B23"/>
    <mergeCell ref="B24:B27"/>
    <mergeCell ref="B28:B31"/>
    <mergeCell ref="B32:B37"/>
    <mergeCell ref="D17:D20"/>
    <mergeCell ref="D21:D23"/>
    <mergeCell ref="D24:D27"/>
    <mergeCell ref="D28:D31"/>
    <mergeCell ref="D32:D37"/>
    <mergeCell ref="E17:E20"/>
    <mergeCell ref="E21:E23"/>
    <mergeCell ref="E24:E27"/>
    <mergeCell ref="E28:E31"/>
    <mergeCell ref="E32:E3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B19" sqref="B19"/>
    </sheetView>
  </sheetViews>
  <sheetFormatPr defaultColWidth="8.88888888888889" defaultRowHeight="14.4"/>
  <cols>
    <col min="1" max="1" width="9.08333333333333" customWidth="1"/>
    <col min="2" max="2" width="50.7777777777778" customWidth="1"/>
    <col min="3" max="4" width="11.1203703703704" customWidth="1"/>
    <col min="6" max="6" width="19" customWidth="1"/>
    <col min="7" max="7" width="18" customWidth="1"/>
    <col min="10" max="10" width="9.08333333333333" customWidth="1"/>
    <col min="11" max="11" width="50.7777777777778" customWidth="1"/>
    <col min="12" max="13" width="11.1203703703704" customWidth="1"/>
  </cols>
  <sheetData>
    <row r="1" ht="22.5" customHeight="1" spans="1:9">
      <c r="A1" s="1" t="s">
        <v>80</v>
      </c>
      <c r="B1" s="2" t="s">
        <v>81</v>
      </c>
      <c r="C1" s="2" t="s">
        <v>3</v>
      </c>
      <c r="D1" s="2" t="s">
        <v>82</v>
      </c>
    </row>
    <row r="2" ht="22.5" customHeight="1" spans="1:9">
      <c r="A2" s="3">
        <v>1</v>
      </c>
      <c r="B2" s="4" t="s">
        <v>83</v>
      </c>
      <c r="C2" s="5">
        <v>4</v>
      </c>
      <c r="D2" s="5"/>
      <c r="F2" s="1" t="s">
        <v>84</v>
      </c>
      <c r="G2" s="2" t="s">
        <v>81</v>
      </c>
      <c r="H2" s="2" t="s">
        <v>3</v>
      </c>
      <c r="I2" s="2" t="s">
        <v>82</v>
      </c>
    </row>
    <row r="3" ht="22.5" customHeight="1" spans="1:9">
      <c r="A3" s="3">
        <v>2</v>
      </c>
      <c r="B3" s="4" t="s">
        <v>85</v>
      </c>
      <c r="C3" s="5">
        <v>3</v>
      </c>
      <c r="D3" s="5"/>
      <c r="F3" s="3">
        <v>1</v>
      </c>
      <c r="G3" s="4" t="s">
        <v>86</v>
      </c>
      <c r="H3" s="5">
        <f>C2+C3+C4</f>
        <v>12</v>
      </c>
      <c r="I3" s="5"/>
    </row>
    <row r="4" ht="22.5" customHeight="1" spans="1:9">
      <c r="A4" s="3">
        <v>3</v>
      </c>
      <c r="B4" s="4" t="s">
        <v>87</v>
      </c>
      <c r="C4" s="5">
        <v>5</v>
      </c>
      <c r="D4" s="5"/>
      <c r="F4" s="3">
        <v>2</v>
      </c>
      <c r="G4" s="6" t="s">
        <v>88</v>
      </c>
      <c r="H4" s="5">
        <f>C11+C12+C13</f>
        <v>15</v>
      </c>
      <c r="I4" s="5"/>
    </row>
    <row r="5" ht="22.5" customHeight="1" spans="1:9">
      <c r="A5" s="3">
        <v>4</v>
      </c>
      <c r="B5" s="7" t="s">
        <v>89</v>
      </c>
      <c r="C5" s="5">
        <v>6</v>
      </c>
      <c r="D5" s="5"/>
      <c r="F5" s="3">
        <v>3</v>
      </c>
      <c r="G5" s="8" t="s">
        <v>90</v>
      </c>
      <c r="H5" s="5">
        <f>C14+C15+C17+C16</f>
        <v>14</v>
      </c>
      <c r="I5" s="5"/>
    </row>
    <row r="6" ht="22.5" customHeight="1" spans="1:9">
      <c r="A6" s="3">
        <v>5</v>
      </c>
      <c r="B6" s="7" t="s">
        <v>91</v>
      </c>
      <c r="C6" s="5">
        <v>3</v>
      </c>
      <c r="D6" s="5"/>
      <c r="F6" s="3">
        <v>4</v>
      </c>
      <c r="G6" s="7" t="s">
        <v>92</v>
      </c>
      <c r="H6" s="5">
        <f>C5+C6+C8</f>
        <v>11</v>
      </c>
      <c r="I6" s="5"/>
    </row>
    <row r="7" ht="22.5" customHeight="1" spans="1:9">
      <c r="A7" s="3">
        <v>6</v>
      </c>
      <c r="B7" s="9" t="s">
        <v>93</v>
      </c>
      <c r="C7" s="5">
        <v>4</v>
      </c>
      <c r="D7" s="5"/>
      <c r="F7" s="3">
        <v>5</v>
      </c>
      <c r="G7" s="10" t="s">
        <v>94</v>
      </c>
      <c r="H7" s="5">
        <f>C7+C9+C10</f>
        <v>13</v>
      </c>
      <c r="I7" s="5"/>
    </row>
    <row r="8" ht="22.5" customHeight="1" spans="1:9">
      <c r="A8" s="3">
        <v>7</v>
      </c>
      <c r="B8" s="7" t="s">
        <v>95</v>
      </c>
      <c r="C8" s="5">
        <v>2</v>
      </c>
      <c r="D8" s="5"/>
      <c r="F8" s="3" t="s">
        <v>96</v>
      </c>
      <c r="G8" s="10" t="s">
        <v>97</v>
      </c>
      <c r="H8" s="5">
        <f>SUM(H3:H7)</f>
        <v>65</v>
      </c>
      <c r="I8" s="5"/>
    </row>
    <row r="9" ht="22.5" customHeight="1" spans="1:9">
      <c r="A9" s="3">
        <v>8</v>
      </c>
      <c r="B9" s="9" t="s">
        <v>98</v>
      </c>
      <c r="C9" s="5">
        <v>6</v>
      </c>
      <c r="D9" s="5"/>
    </row>
    <row r="10" ht="22.5" customHeight="1" spans="1:9">
      <c r="A10" s="3">
        <v>9</v>
      </c>
      <c r="B10" s="10" t="s">
        <v>99</v>
      </c>
      <c r="C10" s="5">
        <v>3</v>
      </c>
      <c r="D10" s="5"/>
    </row>
    <row r="11" ht="22.5" customHeight="1" spans="1:9">
      <c r="A11" s="3">
        <v>10</v>
      </c>
      <c r="B11" s="11" t="s">
        <v>100</v>
      </c>
      <c r="C11" s="5">
        <v>5</v>
      </c>
      <c r="D11" s="5"/>
    </row>
    <row r="12" ht="22.5" customHeight="1" spans="1:9">
      <c r="A12" s="3">
        <v>11</v>
      </c>
      <c r="B12" s="11" t="s">
        <v>101</v>
      </c>
      <c r="C12" s="5">
        <v>5</v>
      </c>
      <c r="D12" s="5"/>
    </row>
    <row r="13" ht="22.5" customHeight="1" spans="1:9">
      <c r="A13" s="3">
        <v>12</v>
      </c>
      <c r="B13" s="11" t="s">
        <v>102</v>
      </c>
      <c r="C13" s="5">
        <v>5</v>
      </c>
      <c r="D13" s="5"/>
    </row>
    <row r="14" ht="22.5" customHeight="1" spans="1:9">
      <c r="A14" s="3">
        <v>13</v>
      </c>
      <c r="B14" s="8" t="s">
        <v>103</v>
      </c>
      <c r="C14" s="5">
        <v>4</v>
      </c>
      <c r="D14" s="5"/>
    </row>
    <row r="15" ht="22.5" customHeight="1" spans="1:9">
      <c r="A15" s="3">
        <v>14</v>
      </c>
      <c r="B15" s="8" t="s">
        <v>104</v>
      </c>
      <c r="C15" s="5">
        <v>4</v>
      </c>
      <c r="D15" s="5"/>
    </row>
    <row r="16" ht="22.5" customHeight="1" spans="1:9">
      <c r="A16" s="3">
        <v>15</v>
      </c>
      <c r="B16" s="8" t="s">
        <v>105</v>
      </c>
      <c r="C16" s="5">
        <v>3</v>
      </c>
      <c r="D16" s="5"/>
    </row>
    <row r="17" ht="22.5" customHeight="1" spans="1:4">
      <c r="A17" s="3">
        <v>16</v>
      </c>
      <c r="B17" s="8" t="s">
        <v>106</v>
      </c>
      <c r="C17" s="5">
        <v>3</v>
      </c>
      <c r="D17" s="12"/>
    </row>
    <row r="18" spans="1:4">
      <c r="C18">
        <f>SUM(C2:C17)</f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任务与分工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空</cp:lastModifiedBy>
  <dcterms:created xsi:type="dcterms:W3CDTF">2026-06-16T02:40:19Z</dcterms:created>
  <dcterms:modified xsi:type="dcterms:W3CDTF">2026-06-16T03:35:33Z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4A880FB044CC47269ABC50DB5769CA4F_11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